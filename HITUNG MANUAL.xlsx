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6D3464B-418C-438C-8BD2-D828B93604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priori_OneHot" sheetId="1" r:id="rId1"/>
    <sheet name="Lembar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2" i="1"/>
  <c r="AD7" i="1"/>
  <c r="AD6" i="1"/>
  <c r="AD5" i="1"/>
  <c r="AD4" i="1"/>
  <c r="AD3" i="1"/>
  <c r="AD2" i="1"/>
  <c r="J2" i="1"/>
  <c r="K2" i="1" s="1"/>
  <c r="J7" i="1"/>
  <c r="Y16" i="1"/>
  <c r="Z16" i="1" s="1"/>
  <c r="AA16" i="1" s="1"/>
  <c r="Y15" i="1"/>
  <c r="Z15" i="1" s="1"/>
  <c r="AA15" i="1" s="1"/>
  <c r="Y14" i="1"/>
  <c r="Z14" i="1" s="1"/>
  <c r="AA14" i="1" s="1"/>
  <c r="Y13" i="1"/>
  <c r="Z13" i="1" s="1"/>
  <c r="AA13" i="1" s="1"/>
  <c r="Y12" i="1"/>
  <c r="Z12" i="1" s="1"/>
  <c r="AA12" i="1" s="1"/>
  <c r="Y11" i="1"/>
  <c r="Z11" i="1" s="1"/>
  <c r="AA11" i="1" s="1"/>
  <c r="Y10" i="1"/>
  <c r="Z10" i="1" s="1"/>
  <c r="AA10" i="1" s="1"/>
  <c r="Y9" i="1"/>
  <c r="Z9" i="1" s="1"/>
  <c r="AA9" i="1" s="1"/>
  <c r="Y8" i="1"/>
  <c r="Z8" i="1" s="1"/>
  <c r="AA8" i="1" s="1"/>
  <c r="Y7" i="1"/>
  <c r="Z7" i="1" s="1"/>
  <c r="AA7" i="1" s="1"/>
  <c r="Y6" i="1"/>
  <c r="Z6" i="1" s="1"/>
  <c r="AA6" i="1" s="1"/>
  <c r="Y5" i="1"/>
  <c r="Z5" i="1" s="1"/>
  <c r="AA5" i="1" s="1"/>
  <c r="Y4" i="1"/>
  <c r="Z4" i="1" s="1"/>
  <c r="AA4" i="1" s="1"/>
  <c r="Y3" i="1"/>
  <c r="Z3" i="1" s="1"/>
  <c r="AA3" i="1" s="1"/>
  <c r="Y2" i="1"/>
  <c r="Z2" i="1" s="1"/>
  <c r="AA2" i="1" s="1"/>
  <c r="T21" i="1"/>
  <c r="U21" i="1" s="1"/>
  <c r="V21" i="1" s="1"/>
  <c r="T20" i="1"/>
  <c r="U20" i="1" s="1"/>
  <c r="V20" i="1" s="1"/>
  <c r="T19" i="1"/>
  <c r="U19" i="1" s="1"/>
  <c r="V19" i="1" s="1"/>
  <c r="T18" i="1"/>
  <c r="U18" i="1" s="1"/>
  <c r="V18" i="1" s="1"/>
  <c r="T17" i="1"/>
  <c r="U17" i="1" s="1"/>
  <c r="V17" i="1" s="1"/>
  <c r="T16" i="1"/>
  <c r="U16" i="1" s="1"/>
  <c r="V16" i="1" s="1"/>
  <c r="T15" i="1"/>
  <c r="U15" i="1" s="1"/>
  <c r="V15" i="1" s="1"/>
  <c r="T14" i="1"/>
  <c r="U14" i="1" s="1"/>
  <c r="V14" i="1" s="1"/>
  <c r="T13" i="1"/>
  <c r="U13" i="1" s="1"/>
  <c r="V13" i="1" s="1"/>
  <c r="T12" i="1"/>
  <c r="U12" i="1" s="1"/>
  <c r="V12" i="1" s="1"/>
  <c r="T11" i="1"/>
  <c r="U11" i="1" s="1"/>
  <c r="V11" i="1" s="1"/>
  <c r="T10" i="1"/>
  <c r="U10" i="1" s="1"/>
  <c r="V10" i="1" s="1"/>
  <c r="T9" i="1"/>
  <c r="U9" i="1" s="1"/>
  <c r="V9" i="1" s="1"/>
  <c r="T8" i="1"/>
  <c r="U8" i="1" s="1"/>
  <c r="V8" i="1" s="1"/>
  <c r="T7" i="1"/>
  <c r="U7" i="1" s="1"/>
  <c r="V7" i="1" s="1"/>
  <c r="T6" i="1"/>
  <c r="U6" i="1" s="1"/>
  <c r="V6" i="1" s="1"/>
  <c r="T5" i="1"/>
  <c r="U5" i="1" s="1"/>
  <c r="V5" i="1" s="1"/>
  <c r="T4" i="1"/>
  <c r="U4" i="1" s="1"/>
  <c r="V4" i="1" s="1"/>
  <c r="T3" i="1"/>
  <c r="U3" i="1" s="1"/>
  <c r="V3" i="1" s="1"/>
  <c r="T2" i="1"/>
  <c r="U2" i="1" s="1"/>
  <c r="V2" i="1" s="1"/>
  <c r="P11" i="1"/>
  <c r="Q11" i="1" s="1"/>
  <c r="P12" i="1"/>
  <c r="Q12" i="1" s="1"/>
  <c r="P14" i="1"/>
  <c r="Q14" i="1" s="1"/>
  <c r="O16" i="1"/>
  <c r="P16" i="1" s="1"/>
  <c r="Q16" i="1" s="1"/>
  <c r="O15" i="1"/>
  <c r="P15" i="1" s="1"/>
  <c r="Q15" i="1" s="1"/>
  <c r="O14" i="1"/>
  <c r="O13" i="1"/>
  <c r="P13" i="1" s="1"/>
  <c r="Q13" i="1" s="1"/>
  <c r="O12" i="1"/>
  <c r="O11" i="1"/>
  <c r="O10" i="1"/>
  <c r="P10" i="1" s="1"/>
  <c r="Q10" i="1" s="1"/>
  <c r="O9" i="1"/>
  <c r="P9" i="1" s="1"/>
  <c r="Q9" i="1" s="1"/>
  <c r="O8" i="1"/>
  <c r="P8" i="1" s="1"/>
  <c r="Q8" i="1" s="1"/>
  <c r="O7" i="1"/>
  <c r="P7" i="1" s="1"/>
  <c r="Q7" i="1" s="1"/>
  <c r="O6" i="1"/>
  <c r="P6" i="1" s="1"/>
  <c r="Q6" i="1" s="1"/>
  <c r="O5" i="1"/>
  <c r="P5" i="1" s="1"/>
  <c r="Q5" i="1" s="1"/>
  <c r="O4" i="1"/>
  <c r="P4" i="1" s="1"/>
  <c r="Q4" i="1" s="1"/>
  <c r="O3" i="1"/>
  <c r="P3" i="1" s="1"/>
  <c r="Q3" i="1" s="1"/>
  <c r="O2" i="1"/>
  <c r="P2" i="1" s="1"/>
  <c r="Q2" i="1" s="1"/>
  <c r="J3" i="1"/>
  <c r="K3" i="1" s="1"/>
  <c r="J4" i="1"/>
  <c r="K4" i="1" s="1"/>
  <c r="J5" i="1"/>
  <c r="K5" i="1" s="1"/>
  <c r="J6" i="1"/>
  <c r="K6" i="1" s="1"/>
  <c r="K7" i="1"/>
  <c r="AE4" i="1"/>
  <c r="AE2" i="1"/>
  <c r="AE3" i="1"/>
  <c r="AE5" i="1"/>
  <c r="AE7" i="1"/>
  <c r="AE6" i="1"/>
</calcChain>
</file>

<file path=xl/sharedStrings.xml><?xml version="1.0" encoding="utf-8"?>
<sst xmlns="http://schemas.openxmlformats.org/spreadsheetml/2006/main" count="145" uniqueCount="125">
  <si>
    <t>ID_Transaksi</t>
  </si>
  <si>
    <t>Beras</t>
  </si>
  <si>
    <t>Minyak</t>
  </si>
  <si>
    <t>Gula</t>
  </si>
  <si>
    <t>Telur</t>
  </si>
  <si>
    <t>Kopi</t>
  </si>
  <si>
    <t>Susu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</si>
  <si>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</si>
  <si>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</si>
  <si>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</si>
  <si>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</si>
  <si>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</si>
  <si>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</si>
  <si>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</si>
  <si>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</si>
  <si>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</si>
  <si>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</si>
  <si>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</si>
  <si>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</si>
  <si>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</si>
  <si>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</si>
  <si>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</si>
  <si>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</si>
  <si>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</si>
  <si>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</si>
  <si>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</si>
  <si>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</si>
  <si>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</si>
  <si>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</si>
  <si>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</si>
  <si>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</si>
  <si>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</si>
  <si>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</si>
  <si>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</si>
  <si>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</si>
  <si>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</si>
  <si>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</si>
  <si>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</si>
  <si>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</si>
  <si>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</si>
  <si>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</si>
  <si>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</si>
  <si>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</si>
  <si>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</si>
  <si>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</si>
  <si>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</si>
  <si>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</si>
  <si>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</si>
  <si>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</si>
  <si>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</si>
  <si>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</si>
  <si>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</si>
  <si>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</si>
  <si>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</si>
  <si>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</si>
  <si>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</si>
  <si>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</si>
  <si>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Item</t>
  </si>
  <si>
    <t>Frekuensi</t>
  </si>
  <si>
    <t>Support</t>
  </si>
  <si>
    <t>Status</t>
  </si>
  <si>
    <t>Lolos</t>
  </si>
  <si>
    <t>Pasangan Item</t>
  </si>
  <si>
    <t>Beras, Minyak</t>
  </si>
  <si>
    <t>Beras, Gula</t>
  </si>
  <si>
    <t>Beras, Telur</t>
  </si>
  <si>
    <t>Gula, Kopi</t>
  </si>
  <si>
    <t>Minyak, Gula</t>
  </si>
  <si>
    <t>Minyak, Telur</t>
  </si>
  <si>
    <t>Kopi, Susu</t>
  </si>
  <si>
    <t>Gula, Telur</t>
  </si>
  <si>
    <t>Gula, Susu</t>
  </si>
  <si>
    <t>Beras, Kopi</t>
  </si>
  <si>
    <t>Beras, Susu</t>
  </si>
  <si>
    <t>Minyak, Kopi</t>
  </si>
  <si>
    <t>Minyak, Susu</t>
  </si>
  <si>
    <t>Telur, Kopi</t>
  </si>
  <si>
    <t>Telur, Susu</t>
  </si>
  <si>
    <t>Kombinasi 3 Item</t>
  </si>
  <si>
    <t>Frequensi</t>
  </si>
  <si>
    <t>Kombinasi 4 item</t>
  </si>
  <si>
    <t>Suppor</t>
  </si>
  <si>
    <t>Beras, Minyak, Gula</t>
  </si>
  <si>
    <t>Beras, Minyak, Telur</t>
  </si>
  <si>
    <t>Beras, Minyak, Kopi</t>
  </si>
  <si>
    <t>Beras, Minyak, Susu</t>
  </si>
  <si>
    <t>Beras, Gula, Telur</t>
  </si>
  <si>
    <t>Beras, Gula, Kopi</t>
  </si>
  <si>
    <t>Beras, Gula, Susu</t>
  </si>
  <si>
    <t>Beras, Telur, Kopi</t>
  </si>
  <si>
    <t>Beras, Telur, Susu</t>
  </si>
  <si>
    <t>Beras, Kopi, Susu</t>
  </si>
  <si>
    <t>Minyak, Gula, Telur</t>
  </si>
  <si>
    <t>Minyak, Gula, Kopi</t>
  </si>
  <si>
    <t>Minyak, Gula, Susu</t>
  </si>
  <si>
    <t>Minyak, Telur, Kopi</t>
  </si>
  <si>
    <t>Minyak, Telur, Susu</t>
  </si>
  <si>
    <t>Minyak, Kopi, Susu</t>
  </si>
  <si>
    <t>Gula, Telur, Kopi</t>
  </si>
  <si>
    <t>Gula, Telur, Susu</t>
  </si>
  <si>
    <t>Gula, Kopi, Susu</t>
  </si>
  <si>
    <t>Telur, Kopi, Susu</t>
  </si>
  <si>
    <t>Beras, Minyak, Gula, Telur</t>
  </si>
  <si>
    <t>Beras, Minyak, Gula, Kopi</t>
  </si>
  <si>
    <t>Beras, Minyak, Gula, Susu</t>
  </si>
  <si>
    <t>Beras, Minyak, Telur, Kopi</t>
  </si>
  <si>
    <t>Beras, Minyak, Telur, Susu</t>
  </si>
  <si>
    <t>Beras, Minyak, Kopi, Susu</t>
  </si>
  <si>
    <t>Beras, Gula, Telur, Kopi</t>
  </si>
  <si>
    <t>Beras, Gula, Telur, Susu</t>
  </si>
  <si>
    <t>Beras, Gula, Kopi, Susu</t>
  </si>
  <si>
    <t>Beras, Telur, Kopi, Susu</t>
  </si>
  <si>
    <t>Minyak, Gula, Telur, Kopi</t>
  </si>
  <si>
    <t>Minyak, Gula, Telur, Susu</t>
  </si>
  <si>
    <t>Minyak, Gula, Kopi, Susu</t>
  </si>
  <si>
    <t>Minyak, Telur, Kopi, Susu</t>
  </si>
  <si>
    <t>Gula, Telur, Kopi, Susu</t>
  </si>
  <si>
    <t>Kombinasi 5 item</t>
  </si>
  <si>
    <t>frequensi</t>
  </si>
  <si>
    <t>Minyak, Gula, Telur, Kopi, Susu</t>
  </si>
  <si>
    <t>Beras, Gula, Telur, Kopi, Susu</t>
  </si>
  <si>
    <t>Beras, Minyak, Telur, Kopi, Susu</t>
  </si>
  <si>
    <t>Beras, Minyak, Gula, Kopi, Susu</t>
  </si>
  <si>
    <t>Beras, Minyak, Gula, Telur, Susu</t>
  </si>
  <si>
    <t>Beras, Minyak, Gula, Telur, Kopi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</si>
</sst>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0" fillId="3" borderId="0" xfId="0" applyFill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4"/>
  <sheetViews>
    <sheetView tabSelected="1" zoomScale="49" zoomScaleNormal="57" workbookViewId="0">
      <selection activeCell="I9" sqref="I9"/>
    </sheetView>
  </sheetViews>
  <sheetFormatPr defaultRowHeight="14.4" x14ac:dyDescent="0.3"/>
  <cols>
    <col min="1" max="1" width="24.33203125" style="1" bestFit="1" customWidth="1"/>
    <col min="2" max="2" width="9.33203125" style="1" customWidth="1"/>
    <col min="3" max="3" width="12.88671875" style="1" customWidth="1"/>
    <col min="4" max="4" width="10.77734375" style="1" customWidth="1"/>
    <col min="5" max="7" width="8.88671875" style="1"/>
    <col min="8" max="8" width="8.88671875" customWidth="1"/>
    <col min="9" max="9" width="7.5546875" bestFit="1" customWidth="1"/>
    <col min="12" max="12" width="6" bestFit="1" customWidth="1"/>
    <col min="13" max="13" width="8" customWidth="1"/>
    <col min="14" max="14" width="14.6640625" bestFit="1" customWidth="1"/>
    <col min="15" max="16" width="8.88671875" style="1"/>
    <col min="18" max="18" width="7.77734375" customWidth="1"/>
    <col min="19" max="19" width="19.6640625" bestFit="1" customWidth="1"/>
    <col min="20" max="20" width="8.88671875" style="1"/>
    <col min="23" max="23" width="7.44140625" customWidth="1"/>
    <col min="24" max="24" width="25.109375" style="1" bestFit="1" customWidth="1"/>
    <col min="25" max="26" width="8.88671875" style="1"/>
    <col min="28" max="28" width="7.5546875" customWidth="1"/>
    <col min="29" max="29" width="30.77734375" customWidth="1"/>
    <col min="30" max="32" width="8.88671875" style="1"/>
  </cols>
  <sheetData>
    <row r="1" spans="1:3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5" t="s">
        <v>57</v>
      </c>
      <c r="J1" s="5" t="s">
        <v>58</v>
      </c>
      <c r="K1" s="5" t="s">
        <v>59</v>
      </c>
      <c r="L1" s="5" t="s">
        <v>60</v>
      </c>
      <c r="N1" s="5" t="s">
        <v>62</v>
      </c>
      <c r="O1" s="5" t="s">
        <v>58</v>
      </c>
      <c r="P1" s="5" t="s">
        <v>59</v>
      </c>
      <c r="Q1" s="5" t="s">
        <v>60</v>
      </c>
      <c r="S1" s="5" t="s">
        <v>78</v>
      </c>
      <c r="T1" s="5" t="s">
        <v>79</v>
      </c>
      <c r="U1" s="5" t="s">
        <v>59</v>
      </c>
      <c r="V1" s="5" t="s">
        <v>60</v>
      </c>
      <c r="X1" s="8" t="s">
        <v>80</v>
      </c>
      <c r="Y1" s="8" t="s">
        <v>79</v>
      </c>
      <c r="Z1" s="8" t="s">
        <v>81</v>
      </c>
      <c r="AA1" s="8" t="s">
        <v>60</v>
      </c>
      <c r="AC1" s="6" t="s">
        <v>117</v>
      </c>
      <c r="AD1" s="5" t="s">
        <v>118</v>
      </c>
      <c r="AE1" s="5" t="s">
        <v>59</v>
      </c>
      <c r="AF1" s="5" t="s">
        <v>60</v>
      </c>
    </row>
    <row r="2" spans="1:32" x14ac:dyDescent="0.3">
      <c r="A2" s="2" t="s">
        <v>7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I2" s="2" t="s">
        <v>1</v>
      </c>
      <c r="J2" s="2">
        <f>SUM(B2:B51)</f>
        <v>20</v>
      </c>
      <c r="K2" s="2">
        <f>J2/50</f>
        <v>0.4</v>
      </c>
      <c r="L2" s="2" t="s">
        <v>61</v>
      </c>
      <c r="N2" s="9" t="s">
        <v>65</v>
      </c>
      <c r="O2" s="2">
        <f>COUNTIFS($B$2:$B$51,1,$E$2:$E$51,1)</f>
        <v>12</v>
      </c>
      <c r="P2" s="2">
        <f>O2/50</f>
        <v>0.24</v>
      </c>
      <c r="Q2" s="2" t="str">
        <f>IF(P2&gt;=0.2, "Lolos", "Pangkas")</f>
        <v>Lolos</v>
      </c>
      <c r="S2" s="2" t="s">
        <v>82</v>
      </c>
      <c r="T2" s="2">
        <f>COUNTIFS($B$2:$B$51,1,$C$2:$C$51,1,$D$2:$D$51,1)</f>
        <v>2</v>
      </c>
      <c r="U2" s="2">
        <f>T2/50</f>
        <v>0.04</v>
      </c>
      <c r="V2" s="2" t="str">
        <f>IF(U2&gt;=0.2, "Lolos", "Pangkas")</f>
        <v>Pangkas</v>
      </c>
      <c r="X2" s="2" t="s">
        <v>102</v>
      </c>
      <c r="Y2" s="2">
        <f>COUNTIFS($B$2:$B$51,1,$C$2:$C$51,1,$D$2:$D$51,1,$E$2:$E$51,1)</f>
        <v>0</v>
      </c>
      <c r="Z2" s="2">
        <f>Y2/50</f>
        <v>0</v>
      </c>
      <c r="AA2" s="2" t="str">
        <f>IF(Z2&gt;=0.2, "Lolos", "Pangkas")</f>
        <v>Pangkas</v>
      </c>
      <c r="AC2" s="7" t="s">
        <v>124</v>
      </c>
      <c r="AD2" s="2">
        <f>COUNTIFS($B$2:$B$51,1,$C$2:$C$51,1,$D$2:$D$51,1,$E$2:$E$51,1,$F$2:$F$51,1)</f>
        <v>0</v>
      </c>
      <c r="AE2" s="2">
        <f ca="1">IF(AE2&gt;=0.2, "Lolos", "Pangkas")</f>
        <v>0</v>
      </c>
      <c r="AF2" s="2" t="str">
        <f>IF(Z2&gt;=0.2, "Lolos", "Pangkas")</f>
        <v>Pangkas</v>
      </c>
    </row>
    <row r="3" spans="1:32" x14ac:dyDescent="0.3">
      <c r="A3" s="2" t="s">
        <v>8</v>
      </c>
      <c r="B3" s="2">
        <v>1</v>
      </c>
      <c r="C3" s="2">
        <v>1</v>
      </c>
      <c r="D3" s="2">
        <v>0</v>
      </c>
      <c r="E3" s="2">
        <v>1</v>
      </c>
      <c r="F3" s="2">
        <v>0</v>
      </c>
      <c r="G3" s="2">
        <v>0</v>
      </c>
      <c r="I3" s="2" t="s">
        <v>2</v>
      </c>
      <c r="J3" s="2">
        <f t="shared" ref="J3:J6" si="0">SUM(B3:B52)</f>
        <v>19</v>
      </c>
      <c r="K3" s="2">
        <f t="shared" ref="K3:K7" si="1">J3/50</f>
        <v>0.38</v>
      </c>
      <c r="L3" s="2" t="s">
        <v>61</v>
      </c>
      <c r="N3" s="9" t="s">
        <v>63</v>
      </c>
      <c r="O3" s="2">
        <f>COUNTIFS($B$2:$B$51, 1, $C$2:$C$51, 1)</f>
        <v>9</v>
      </c>
      <c r="P3" s="2">
        <f t="shared" ref="P3:P16" si="2">O3/50</f>
        <v>0.18</v>
      </c>
      <c r="Q3" s="2" t="str">
        <f t="shared" ref="Q3:Q16" si="3">IF(P3&gt;=0.2, "Lolos", "Pangkas")</f>
        <v>Pangkas</v>
      </c>
      <c r="S3" s="2" t="s">
        <v>83</v>
      </c>
      <c r="T3" s="2">
        <f>COUNTIFS($B$2:$B$51,1,$C$2:$C$51,1,$E$2:$E$51,1)</f>
        <v>4</v>
      </c>
      <c r="U3" s="2">
        <f t="shared" ref="U3:U21" si="4">T3/50</f>
        <v>0.08</v>
      </c>
      <c r="V3" s="2" t="str">
        <f t="shared" ref="V3:V21" si="5">IF(U3&gt;=0.2, "Lolos", "Pangkas")</f>
        <v>Pangkas</v>
      </c>
      <c r="X3" s="2" t="s">
        <v>103</v>
      </c>
      <c r="Y3" s="2">
        <f>COUNTIFS($B$2:$B$51,1,$C$2:$C$51,1,$D$2:$D$51,1,$F$2:$F$51,1)</f>
        <v>0</v>
      </c>
      <c r="Z3" s="2">
        <f t="shared" ref="Z3:Z16" si="6">Y3/50</f>
        <v>0</v>
      </c>
      <c r="AA3" s="2" t="str">
        <f t="shared" ref="AA3:AA16" si="7">IF(Z3&gt;=0.2, "Lolos", "Pangkas")</f>
        <v>Pangkas</v>
      </c>
      <c r="AC3" s="7" t="s">
        <v>123</v>
      </c>
      <c r="AD3" s="2">
        <f>COUNTIFS($B$2:$B$51,1,$C$2:$C$51,1,$D$2:$D$51,1,$E$2:$E$51,1,$G$2:$G$51,1)</f>
        <v>0</v>
      </c>
      <c r="AE3" s="2">
        <f t="shared" ref="AE3:AE7" ca="1" si="8">IF(AE3&gt;=0.2, "Lolos", "Pangkas")</f>
        <v>0</v>
      </c>
      <c r="AF3" s="2" t="str">
        <f t="shared" ref="AF3:AF7" si="9">IF(Z3&gt;=0.2, "Lolos", "Pangkas")</f>
        <v>Pangkas</v>
      </c>
    </row>
    <row r="4" spans="1:32" x14ac:dyDescent="0.3">
      <c r="A4" s="2" t="s">
        <v>9</v>
      </c>
      <c r="B4" s="2">
        <v>0</v>
      </c>
      <c r="C4" s="2">
        <v>0</v>
      </c>
      <c r="D4" s="2">
        <v>1</v>
      </c>
      <c r="E4" s="2">
        <v>0</v>
      </c>
      <c r="F4" s="2">
        <v>1</v>
      </c>
      <c r="G4" s="2">
        <v>1</v>
      </c>
      <c r="I4" s="2" t="s">
        <v>3</v>
      </c>
      <c r="J4" s="2">
        <f t="shared" si="0"/>
        <v>18</v>
      </c>
      <c r="K4" s="2">
        <f t="shared" si="1"/>
        <v>0.36</v>
      </c>
      <c r="L4" s="2" t="s">
        <v>61</v>
      </c>
      <c r="N4" s="9" t="s">
        <v>64</v>
      </c>
      <c r="O4" s="2">
        <f>COUNTIFS($B$2:$B$51, 1, $D$2:$D$51, 1)</f>
        <v>9</v>
      </c>
      <c r="P4" s="2">
        <f t="shared" si="2"/>
        <v>0.18</v>
      </c>
      <c r="Q4" s="2" t="str">
        <f t="shared" si="3"/>
        <v>Pangkas</v>
      </c>
      <c r="S4" s="2" t="s">
        <v>84</v>
      </c>
      <c r="T4" s="2">
        <f>COUNTIFS($B$2:$B$51,1,$C$2:$C$51,1,$F$2:$F$51,1)</f>
        <v>0</v>
      </c>
      <c r="U4" s="2">
        <f t="shared" si="4"/>
        <v>0</v>
      </c>
      <c r="V4" s="2" t="str">
        <f t="shared" si="5"/>
        <v>Pangkas</v>
      </c>
      <c r="X4" s="2" t="s">
        <v>104</v>
      </c>
      <c r="Y4" s="2">
        <f>COUNTIFS($B$2:$B$51,1,$C$2:$C$51,1,$D$2:$D$51,1,$G$2:$G$51,1)</f>
        <v>0</v>
      </c>
      <c r="Z4" s="2">
        <f t="shared" si="6"/>
        <v>0</v>
      </c>
      <c r="AA4" s="2" t="str">
        <f t="shared" si="7"/>
        <v>Pangkas</v>
      </c>
      <c r="AC4" s="7" t="s">
        <v>122</v>
      </c>
      <c r="AD4" s="2">
        <f>COUNTIFS($B$2:$B$51,1,$C$2:$C$51,1,$D$2:$D$51,1,$F$2:$F$51,1,$G$2:$G$51,1)</f>
        <v>0</v>
      </c>
      <c r="AE4" s="2">
        <f t="shared" ca="1" si="8"/>
        <v>0</v>
      </c>
      <c r="AF4" s="2" t="str">
        <f t="shared" si="9"/>
        <v>Pangkas</v>
      </c>
    </row>
    <row r="5" spans="1:32" x14ac:dyDescent="0.3">
      <c r="A5" s="2" t="s">
        <v>10</v>
      </c>
      <c r="B5" s="2">
        <v>1</v>
      </c>
      <c r="C5" s="2">
        <v>0</v>
      </c>
      <c r="D5" s="2">
        <v>1</v>
      </c>
      <c r="E5" s="2">
        <v>1</v>
      </c>
      <c r="F5" s="2">
        <v>0</v>
      </c>
      <c r="G5" s="2">
        <v>0</v>
      </c>
      <c r="I5" s="2" t="s">
        <v>4</v>
      </c>
      <c r="J5" s="2">
        <f t="shared" si="0"/>
        <v>18</v>
      </c>
      <c r="K5" s="2">
        <f t="shared" si="1"/>
        <v>0.36</v>
      </c>
      <c r="L5" s="2" t="s">
        <v>61</v>
      </c>
      <c r="N5" s="9" t="s">
        <v>66</v>
      </c>
      <c r="O5" s="2">
        <f>COUNTIFS($D$2:$D$51, 1, $F$2:$F$51, 1)</f>
        <v>8</v>
      </c>
      <c r="P5" s="2">
        <f t="shared" si="2"/>
        <v>0.16</v>
      </c>
      <c r="Q5" s="2" t="str">
        <f t="shared" si="3"/>
        <v>Pangkas</v>
      </c>
      <c r="S5" s="2" t="s">
        <v>85</v>
      </c>
      <c r="T5" s="2">
        <f>COUNTIFS($B$2:$B$51,1,$C$2:$C$51,1,$G$2:$G$51,1)</f>
        <v>0</v>
      </c>
      <c r="U5" s="2">
        <f t="shared" si="4"/>
        <v>0</v>
      </c>
      <c r="V5" s="2" t="str">
        <f t="shared" si="5"/>
        <v>Pangkas</v>
      </c>
      <c r="X5" s="2" t="s">
        <v>105</v>
      </c>
      <c r="Y5" s="2">
        <f>COUNTIFS($B$2:$B$51,1,$C$2:$C$51,1,$E$2:$E$51,1,$F$2:$F$51,1)</f>
        <v>0</v>
      </c>
      <c r="Z5" s="2">
        <f t="shared" si="6"/>
        <v>0</v>
      </c>
      <c r="AA5" s="2" t="str">
        <f t="shared" si="7"/>
        <v>Pangkas</v>
      </c>
      <c r="AC5" s="7" t="s">
        <v>121</v>
      </c>
      <c r="AD5" s="2">
        <f>COUNTIFS($B$2:$B$51,1,$C$2:$C$51,1,$E$2:$E$51,1,$F$2:$F$51,1,$G$2:$G$51,1)</f>
        <v>0</v>
      </c>
      <c r="AE5" s="2">
        <f t="shared" ca="1" si="8"/>
        <v>0</v>
      </c>
      <c r="AF5" s="2" t="str">
        <f t="shared" si="9"/>
        <v>Pangkas</v>
      </c>
    </row>
    <row r="6" spans="1:32" x14ac:dyDescent="0.3">
      <c r="A6" s="2" t="s">
        <v>11</v>
      </c>
      <c r="B6" s="2">
        <v>0</v>
      </c>
      <c r="C6" s="2">
        <v>1</v>
      </c>
      <c r="D6" s="2">
        <v>1</v>
      </c>
      <c r="E6" s="2">
        <v>0</v>
      </c>
      <c r="F6" s="2">
        <v>0</v>
      </c>
      <c r="G6" s="2">
        <v>0</v>
      </c>
      <c r="I6" s="2" t="s">
        <v>5</v>
      </c>
      <c r="J6" s="2">
        <f t="shared" si="0"/>
        <v>17</v>
      </c>
      <c r="K6" s="2">
        <f t="shared" si="1"/>
        <v>0.34</v>
      </c>
      <c r="L6" s="2" t="s">
        <v>61</v>
      </c>
      <c r="N6" s="9" t="s">
        <v>67</v>
      </c>
      <c r="O6" s="1">
        <f>COUNTIFS($C$2:$C$51, 1, $D$2:$D$51, 1)</f>
        <v>6</v>
      </c>
      <c r="P6" s="2">
        <f t="shared" si="2"/>
        <v>0.12</v>
      </c>
      <c r="Q6" s="2" t="str">
        <f t="shared" si="3"/>
        <v>Pangkas</v>
      </c>
      <c r="S6" s="2" t="s">
        <v>86</v>
      </c>
      <c r="T6" s="2">
        <f>COUNTIFS($B$2:$B$51,1,$D$2:$D$51,1,$E$2:$E$51,1)</f>
        <v>4</v>
      </c>
      <c r="U6" s="2">
        <f t="shared" si="4"/>
        <v>0.08</v>
      </c>
      <c r="V6" s="2" t="str">
        <f t="shared" si="5"/>
        <v>Pangkas</v>
      </c>
      <c r="X6" s="2" t="s">
        <v>106</v>
      </c>
      <c r="Y6" s="2">
        <f>COUNTIFS($B$2:$B$51,1,$C$2:$C$51,1,$E$2:$E$51,1,$G$2:$G$51,1)</f>
        <v>0</v>
      </c>
      <c r="Z6" s="2">
        <f t="shared" si="6"/>
        <v>0</v>
      </c>
      <c r="AA6" s="2" t="str">
        <f t="shared" si="7"/>
        <v>Pangkas</v>
      </c>
      <c r="AC6" s="7" t="s">
        <v>120</v>
      </c>
      <c r="AD6" s="2">
        <f>COUNTIFS($B$2:$B$51,1,$D$2:$D$51,1,$E$2:$E$51,1,$F$2:$F$51,1,$G$2:$G$51,1)</f>
        <v>0</v>
      </c>
      <c r="AE6" s="2">
        <f t="shared" ca="1" si="8"/>
        <v>0</v>
      </c>
      <c r="AF6" s="2" t="str">
        <f t="shared" si="9"/>
        <v>Pangkas</v>
      </c>
    </row>
    <row r="7" spans="1:32" x14ac:dyDescent="0.3">
      <c r="A7" s="2" t="s">
        <v>12</v>
      </c>
      <c r="B7" s="2">
        <v>1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I7" s="2" t="s">
        <v>6</v>
      </c>
      <c r="J7" s="2">
        <f>SUM(B7:B56)</f>
        <v>17</v>
      </c>
      <c r="K7" s="2">
        <f t="shared" si="1"/>
        <v>0.34</v>
      </c>
      <c r="L7" s="2" t="s">
        <v>61</v>
      </c>
      <c r="N7" s="9" t="s">
        <v>68</v>
      </c>
      <c r="O7" s="2">
        <f>COUNTIFS($C$2:$C$51, 1, $E$2:$E$51, 1)</f>
        <v>6</v>
      </c>
      <c r="P7" s="2">
        <f t="shared" si="2"/>
        <v>0.12</v>
      </c>
      <c r="Q7" s="2" t="str">
        <f t="shared" si="3"/>
        <v>Pangkas</v>
      </c>
      <c r="S7" s="2" t="s">
        <v>87</v>
      </c>
      <c r="T7" s="2">
        <f>COUNTIFS($B$2:$B$51,1,$D$2:$D$51,1,$F$2:$F$51,1)</f>
        <v>0</v>
      </c>
      <c r="U7" s="2">
        <f t="shared" si="4"/>
        <v>0</v>
      </c>
      <c r="V7" s="2" t="str">
        <f t="shared" si="5"/>
        <v>Pangkas</v>
      </c>
      <c r="X7" s="2" t="s">
        <v>107</v>
      </c>
      <c r="Y7" s="2">
        <f>COUNTIFS($B$2:$B$51,1,$C$2:$C$51,1,$F$2:$F$51,1,$G$2:$G$51,1)</f>
        <v>0</v>
      </c>
      <c r="Z7" s="2">
        <f t="shared" si="6"/>
        <v>0</v>
      </c>
      <c r="AA7" s="2" t="str">
        <f t="shared" si="7"/>
        <v>Pangkas</v>
      </c>
      <c r="AC7" s="7" t="s">
        <v>119</v>
      </c>
      <c r="AD7" s="2">
        <f>COUNTIFS($C$2:$C$51,1,$D$2:$D$51,1,$E$2:$E$51,1,$F$2:$F$51,1,$G$2:$G$51,1)</f>
        <v>0</v>
      </c>
      <c r="AE7" s="2">
        <f t="shared" ca="1" si="8"/>
        <v>0</v>
      </c>
      <c r="AF7" s="2" t="str">
        <f t="shared" si="9"/>
        <v>Pangkas</v>
      </c>
    </row>
    <row r="8" spans="1:32" x14ac:dyDescent="0.3">
      <c r="A8" s="2" t="s">
        <v>13</v>
      </c>
      <c r="B8" s="2">
        <v>0</v>
      </c>
      <c r="C8" s="2">
        <v>0</v>
      </c>
      <c r="D8" s="2">
        <v>1</v>
      </c>
      <c r="E8" s="2">
        <v>0</v>
      </c>
      <c r="F8" s="2">
        <v>1</v>
      </c>
      <c r="G8" s="2">
        <v>1</v>
      </c>
      <c r="N8" s="9" t="s">
        <v>69</v>
      </c>
      <c r="O8" s="1">
        <f>COUNTIFS($F$2:$F$51, 1, $G$2:$G$51, 1)</f>
        <v>6</v>
      </c>
      <c r="P8" s="2">
        <f t="shared" si="2"/>
        <v>0.12</v>
      </c>
      <c r="Q8" s="2" t="str">
        <f t="shared" si="3"/>
        <v>Pangkas</v>
      </c>
      <c r="S8" s="2" t="s">
        <v>88</v>
      </c>
      <c r="T8" s="2">
        <f>COUNTIFS($B$2:$B$51,1,$D$2:$D$51,1,$G$2:$G$51,1)</f>
        <v>0</v>
      </c>
      <c r="U8" s="2">
        <f t="shared" si="4"/>
        <v>0</v>
      </c>
      <c r="V8" s="2" t="str">
        <f t="shared" si="5"/>
        <v>Pangkas</v>
      </c>
      <c r="X8" s="2" t="s">
        <v>108</v>
      </c>
      <c r="Y8" s="2">
        <f>COUNTIFS($B$2:$B$51,1,$D$2:$D$51,1,$E$2:$E$51,1,$F$2:$F$51,1)</f>
        <v>0</v>
      </c>
      <c r="Z8" s="2">
        <f t="shared" si="6"/>
        <v>0</v>
      </c>
      <c r="AA8" s="2" t="str">
        <f t="shared" si="7"/>
        <v>Pangkas</v>
      </c>
    </row>
    <row r="9" spans="1:32" x14ac:dyDescent="0.3">
      <c r="A9" s="2" t="s">
        <v>14</v>
      </c>
      <c r="B9" s="2">
        <v>1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N9" s="9" t="s">
        <v>70</v>
      </c>
      <c r="O9" s="2">
        <f>COUNTIFS($D$2:$D$51, 1, $E$2:$E$51, 1)</f>
        <v>4</v>
      </c>
      <c r="P9" s="2">
        <f t="shared" si="2"/>
        <v>0.08</v>
      </c>
      <c r="Q9" s="2" t="str">
        <f t="shared" si="3"/>
        <v>Pangkas</v>
      </c>
      <c r="S9" s="2" t="s">
        <v>89</v>
      </c>
      <c r="T9" s="2">
        <f>COUNTIFS($B$2:$B$51,1,$D$2:$D$51,1,$G$2:$G$51,1)</f>
        <v>0</v>
      </c>
      <c r="U9" s="2">
        <f t="shared" si="4"/>
        <v>0</v>
      </c>
      <c r="V9" s="2" t="str">
        <f t="shared" si="5"/>
        <v>Pangkas</v>
      </c>
      <c r="X9" s="2" t="s">
        <v>109</v>
      </c>
      <c r="Y9" s="2">
        <f>COUNTIFS($B$2:$B$51,1,$D$2:$D$51,1,$E$2:$E$51,1,$G$2:$G$51,1)</f>
        <v>0</v>
      </c>
      <c r="Z9" s="2">
        <f t="shared" si="6"/>
        <v>0</v>
      </c>
      <c r="AA9" s="2" t="str">
        <f t="shared" si="7"/>
        <v>Pangkas</v>
      </c>
    </row>
    <row r="10" spans="1:32" x14ac:dyDescent="0.3">
      <c r="A10" s="2" t="s">
        <v>15</v>
      </c>
      <c r="B10" s="2">
        <v>0</v>
      </c>
      <c r="C10" s="2">
        <v>1</v>
      </c>
      <c r="D10" s="2">
        <v>0</v>
      </c>
      <c r="E10" s="2">
        <v>1</v>
      </c>
      <c r="F10" s="2">
        <v>0</v>
      </c>
      <c r="G10" s="2">
        <v>0</v>
      </c>
      <c r="N10" s="9" t="s">
        <v>71</v>
      </c>
      <c r="O10" s="2">
        <f>COUNTIFS($D$2:$D$51, 1, $G$2:$G$51, 1)</f>
        <v>3</v>
      </c>
      <c r="P10" s="2">
        <f t="shared" si="2"/>
        <v>0.06</v>
      </c>
      <c r="Q10" s="2" t="str">
        <f t="shared" si="3"/>
        <v>Pangkas</v>
      </c>
      <c r="S10" s="2" t="s">
        <v>90</v>
      </c>
      <c r="T10" s="2">
        <f>COUNTIFS($B$2:$B$51,1,$E$2:$E$51,1,$G$2:$G$51,1)</f>
        <v>0</v>
      </c>
      <c r="U10" s="2">
        <f t="shared" si="4"/>
        <v>0</v>
      </c>
      <c r="V10" s="2" t="str">
        <f t="shared" si="5"/>
        <v>Pangkas</v>
      </c>
      <c r="X10" s="2" t="s">
        <v>110</v>
      </c>
      <c r="Y10" s="2">
        <f>COUNTIFS($B$2:$B$51,1,$D$2:$D$51,1,$F$2:$F$51,1,$G$2:$G$51,1)</f>
        <v>0</v>
      </c>
      <c r="Z10" s="2">
        <f t="shared" si="6"/>
        <v>0</v>
      </c>
      <c r="AA10" s="2" t="str">
        <f t="shared" si="7"/>
        <v>Pangkas</v>
      </c>
    </row>
    <row r="11" spans="1:32" x14ac:dyDescent="0.3">
      <c r="A11" s="2" t="s">
        <v>16</v>
      </c>
      <c r="B11" s="2">
        <v>1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N11" s="9" t="s">
        <v>72</v>
      </c>
      <c r="O11" s="2">
        <f>COUNTIFS($B$2:$B$51, 1, $F$2:$F$51, 1)</f>
        <v>0</v>
      </c>
      <c r="P11" s="2">
        <f t="shared" si="2"/>
        <v>0</v>
      </c>
      <c r="Q11" s="2" t="str">
        <f t="shared" si="3"/>
        <v>Pangkas</v>
      </c>
      <c r="S11" s="2" t="s">
        <v>91</v>
      </c>
      <c r="T11" s="2">
        <f>COUNTIFS($B$2:$B$51,1,$F$2:$F$51,1,$G$2:$G$51,1)</f>
        <v>0</v>
      </c>
      <c r="U11" s="2">
        <f t="shared" si="4"/>
        <v>0</v>
      </c>
      <c r="V11" s="2" t="str">
        <f t="shared" si="5"/>
        <v>Pangkas</v>
      </c>
      <c r="X11" s="2" t="s">
        <v>111</v>
      </c>
      <c r="Y11" s="2">
        <f>COUNTIFS($B$2:$B$51,1,$E$2:$E$51,1,$F$2:$F$51,1,$G$2:$G$51,1)</f>
        <v>0</v>
      </c>
      <c r="Z11" s="2">
        <f t="shared" si="6"/>
        <v>0</v>
      </c>
      <c r="AA11" s="2" t="str">
        <f t="shared" si="7"/>
        <v>Pangkas</v>
      </c>
    </row>
    <row r="12" spans="1:32" x14ac:dyDescent="0.3">
      <c r="A12" s="2" t="s">
        <v>17</v>
      </c>
      <c r="B12" s="2">
        <v>0</v>
      </c>
      <c r="C12" s="2">
        <v>0</v>
      </c>
      <c r="D12" s="2">
        <v>1</v>
      </c>
      <c r="E12" s="2">
        <v>0</v>
      </c>
      <c r="F12" s="2">
        <v>1</v>
      </c>
      <c r="G12" s="2">
        <v>0</v>
      </c>
      <c r="N12" s="9" t="s">
        <v>73</v>
      </c>
      <c r="O12" s="2">
        <f>COUNTIFS($B$2:$B$51, 1, $G$2:$G$51, 1)</f>
        <v>0</v>
      </c>
      <c r="P12" s="2">
        <f t="shared" si="2"/>
        <v>0</v>
      </c>
      <c r="Q12" s="2" t="str">
        <f t="shared" si="3"/>
        <v>Pangkas</v>
      </c>
      <c r="S12" s="2" t="s">
        <v>92</v>
      </c>
      <c r="T12" s="2">
        <f>COUNTIFS($C$2:$C$51,1,$D$2:$D$51,1,$E$2:$E$51,1)</f>
        <v>0</v>
      </c>
      <c r="U12" s="2">
        <f t="shared" si="4"/>
        <v>0</v>
      </c>
      <c r="V12" s="2" t="str">
        <f t="shared" si="5"/>
        <v>Pangkas</v>
      </c>
      <c r="X12" s="2" t="s">
        <v>112</v>
      </c>
      <c r="Y12" s="2">
        <f>COUNTIFS($C$2:$C$51,1,$D$2:$D$51,1,$E$2:$E$51,1,$F$2:$F$51,1)</f>
        <v>0</v>
      </c>
      <c r="Z12" s="2">
        <f t="shared" si="6"/>
        <v>0</v>
      </c>
      <c r="AA12" s="2" t="str">
        <f t="shared" si="7"/>
        <v>Pangkas</v>
      </c>
    </row>
    <row r="13" spans="1:32" x14ac:dyDescent="0.3">
      <c r="A13" s="2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N13" s="9" t="s">
        <v>74</v>
      </c>
      <c r="O13" s="2">
        <f>COUNTIFS($C$2:$C$51, 1, $F$2:$F$51, 1)</f>
        <v>0</v>
      </c>
      <c r="P13" s="2">
        <f t="shared" si="2"/>
        <v>0</v>
      </c>
      <c r="Q13" s="2" t="str">
        <f t="shared" si="3"/>
        <v>Pangkas</v>
      </c>
      <c r="S13" s="2" t="s">
        <v>93</v>
      </c>
      <c r="T13" s="2">
        <f>COUNTIFS($C$2:$C$51,1,$D$2:$D$51,1,$F$2:$F$51,1)</f>
        <v>0</v>
      </c>
      <c r="U13" s="2">
        <f t="shared" si="4"/>
        <v>0</v>
      </c>
      <c r="V13" s="2" t="str">
        <f t="shared" si="5"/>
        <v>Pangkas</v>
      </c>
      <c r="X13" s="2" t="s">
        <v>113</v>
      </c>
      <c r="Y13" s="2">
        <f>COUNTIFS($C$2:$C$51,1,$D$2:$D$51,1,$E$2:$E$51,1,$G$2:$G$51,1)</f>
        <v>0</v>
      </c>
      <c r="Z13" s="2">
        <f t="shared" si="6"/>
        <v>0</v>
      </c>
      <c r="AA13" s="2" t="str">
        <f t="shared" si="7"/>
        <v>Pangkas</v>
      </c>
    </row>
    <row r="14" spans="1:32" x14ac:dyDescent="0.3">
      <c r="A14" s="2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N14" s="9" t="s">
        <v>75</v>
      </c>
      <c r="O14" s="2">
        <f>COUNTIFS($C$2:$C$51, 1, $G$2:$G$51, 1)</f>
        <v>0</v>
      </c>
      <c r="P14" s="2">
        <f t="shared" si="2"/>
        <v>0</v>
      </c>
      <c r="Q14" s="2" t="str">
        <f t="shared" si="3"/>
        <v>Pangkas</v>
      </c>
      <c r="S14" s="2" t="s">
        <v>94</v>
      </c>
      <c r="T14" s="2">
        <f>COUNTIFS($C$2:$C$51,1,$D$2:$D$51,1,$G$2:$G$51,1)</f>
        <v>0</v>
      </c>
      <c r="U14" s="2">
        <f t="shared" si="4"/>
        <v>0</v>
      </c>
      <c r="V14" s="2" t="str">
        <f t="shared" si="5"/>
        <v>Pangkas</v>
      </c>
      <c r="X14" s="2" t="s">
        <v>114</v>
      </c>
      <c r="Y14" s="2">
        <f>COUNTIFS($C$2:$C$51,1,$D$2:$D$51,1,$F$2:$F$51,1,$G$2:$G$51,1)</f>
        <v>0</v>
      </c>
      <c r="Z14" s="2">
        <f t="shared" si="6"/>
        <v>0</v>
      </c>
      <c r="AA14" s="2" t="str">
        <f t="shared" si="7"/>
        <v>Pangkas</v>
      </c>
    </row>
    <row r="15" spans="1:32" x14ac:dyDescent="0.3">
      <c r="A15" s="2" t="s">
        <v>20</v>
      </c>
      <c r="B15" s="2">
        <v>1</v>
      </c>
      <c r="C15" s="2">
        <v>1</v>
      </c>
      <c r="D15" s="2">
        <v>0</v>
      </c>
      <c r="E15" s="2">
        <v>1</v>
      </c>
      <c r="F15" s="2">
        <v>0</v>
      </c>
      <c r="G15" s="2">
        <v>0</v>
      </c>
      <c r="N15" s="9" t="s">
        <v>76</v>
      </c>
      <c r="O15" s="2">
        <f>COUNTIFS($E$2:$E$51, 1, $F$2:$F$51, 1)</f>
        <v>0</v>
      </c>
      <c r="P15" s="2">
        <f t="shared" si="2"/>
        <v>0</v>
      </c>
      <c r="Q15" s="2" t="str">
        <f t="shared" si="3"/>
        <v>Pangkas</v>
      </c>
      <c r="S15" s="2" t="s">
        <v>95</v>
      </c>
      <c r="T15" s="2">
        <f>COUNTIFS($C$2:$C$51,1,$E$2:$E$51,1,$F$2:$F$51,1)</f>
        <v>0</v>
      </c>
      <c r="U15" s="2">
        <f t="shared" si="4"/>
        <v>0</v>
      </c>
      <c r="V15" s="2" t="str">
        <f t="shared" si="5"/>
        <v>Pangkas</v>
      </c>
      <c r="X15" s="2" t="s">
        <v>115</v>
      </c>
      <c r="Y15" s="2">
        <f>COUNTIFS($C$2:$C$51,1,$E$2:$E$51,1,$F$2:$F$51,1,$G$2:$G$51,1)</f>
        <v>0</v>
      </c>
      <c r="Z15" s="2">
        <f t="shared" si="6"/>
        <v>0</v>
      </c>
      <c r="AA15" s="2" t="str">
        <f t="shared" si="7"/>
        <v>Pangkas</v>
      </c>
    </row>
    <row r="16" spans="1:32" x14ac:dyDescent="0.3">
      <c r="A16" s="2" t="s">
        <v>21</v>
      </c>
      <c r="B16" s="2">
        <v>0</v>
      </c>
      <c r="C16" s="2">
        <v>0</v>
      </c>
      <c r="D16" s="2">
        <v>1</v>
      </c>
      <c r="E16" s="2">
        <v>0</v>
      </c>
      <c r="F16" s="2">
        <v>1</v>
      </c>
      <c r="G16" s="2">
        <v>0</v>
      </c>
      <c r="N16" s="9" t="s">
        <v>77</v>
      </c>
      <c r="O16" s="2">
        <f>COUNTIFS($E$2:$E$51, 1, $G$2:$G$51, 1)</f>
        <v>0</v>
      </c>
      <c r="P16" s="2">
        <f t="shared" si="2"/>
        <v>0</v>
      </c>
      <c r="Q16" s="2" t="str">
        <f t="shared" si="3"/>
        <v>Pangkas</v>
      </c>
      <c r="S16" s="2" t="s">
        <v>96</v>
      </c>
      <c r="T16" s="2">
        <f>COUNTIFS($C$2:$C$51,1,$E$2:$E$51,1,$G$2:$G$51,1)</f>
        <v>0</v>
      </c>
      <c r="U16" s="2">
        <f t="shared" si="4"/>
        <v>0</v>
      </c>
      <c r="V16" s="2" t="str">
        <f t="shared" si="5"/>
        <v>Pangkas</v>
      </c>
      <c r="X16" s="2" t="s">
        <v>116</v>
      </c>
      <c r="Y16" s="2">
        <f>COUNTIFS($D$2:$D$51,1,$E$2:$E$51,1,$F$2:$F$51,1,$G$2:$G$51,1)</f>
        <v>0</v>
      </c>
      <c r="Z16" s="2">
        <f t="shared" si="6"/>
        <v>0</v>
      </c>
      <c r="AA16" s="2" t="str">
        <f t="shared" si="7"/>
        <v>Pangkas</v>
      </c>
    </row>
    <row r="17" spans="1:22" x14ac:dyDescent="0.3">
      <c r="A17" s="2" t="s">
        <v>22</v>
      </c>
      <c r="B17" s="2">
        <v>0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S17" s="2" t="s">
        <v>97</v>
      </c>
      <c r="T17" s="2">
        <f>COUNTIFS($C$2:$C$51,1,$F$2:$F$51,1,$G$2:$G$51,1)</f>
        <v>0</v>
      </c>
      <c r="U17" s="2">
        <f t="shared" si="4"/>
        <v>0</v>
      </c>
      <c r="V17" s="2" t="str">
        <f t="shared" si="5"/>
        <v>Pangkas</v>
      </c>
    </row>
    <row r="18" spans="1:22" x14ac:dyDescent="0.3">
      <c r="A18" s="2" t="s">
        <v>23</v>
      </c>
      <c r="B18" s="2">
        <v>1</v>
      </c>
      <c r="C18" s="2">
        <v>0</v>
      </c>
      <c r="D18" s="2">
        <v>1</v>
      </c>
      <c r="E18" s="2">
        <v>1</v>
      </c>
      <c r="F18" s="2">
        <v>0</v>
      </c>
      <c r="G18" s="2">
        <v>0</v>
      </c>
      <c r="S18" s="2" t="s">
        <v>98</v>
      </c>
      <c r="T18" s="2">
        <f>COUNTIFS($D$2:$D$51,1,$E$2:$E$51,1,$F$2:$F$51,1)</f>
        <v>0</v>
      </c>
      <c r="U18" s="2">
        <f t="shared" si="4"/>
        <v>0</v>
      </c>
      <c r="V18" s="2" t="str">
        <f t="shared" si="5"/>
        <v>Pangkas</v>
      </c>
    </row>
    <row r="19" spans="1:22" x14ac:dyDescent="0.3">
      <c r="A19" s="2" t="s">
        <v>24</v>
      </c>
      <c r="B19" s="2">
        <v>0</v>
      </c>
      <c r="C19" s="2">
        <v>1</v>
      </c>
      <c r="D19" s="2">
        <v>0</v>
      </c>
      <c r="E19" s="2">
        <v>0</v>
      </c>
      <c r="F19" s="2">
        <v>0</v>
      </c>
      <c r="G19" s="2">
        <v>0</v>
      </c>
      <c r="S19" s="2" t="s">
        <v>99</v>
      </c>
      <c r="T19" s="2">
        <f>COUNTIFS($D$2:$D$51,1,$E$2:$E$51,1,$G$2:$G$51,1)</f>
        <v>0</v>
      </c>
      <c r="U19" s="2">
        <f t="shared" si="4"/>
        <v>0</v>
      </c>
      <c r="V19" s="2" t="str">
        <f t="shared" si="5"/>
        <v>Pangkas</v>
      </c>
    </row>
    <row r="20" spans="1:22" x14ac:dyDescent="0.3">
      <c r="A20" s="2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1</v>
      </c>
      <c r="S20" s="2" t="s">
        <v>100</v>
      </c>
      <c r="T20" s="2">
        <f>COUNTIFS($D$2:$D$51,1,$F$2:$F$51,1,$G$2:$G$51,1)</f>
        <v>3</v>
      </c>
      <c r="U20" s="2">
        <f t="shared" si="4"/>
        <v>0.06</v>
      </c>
      <c r="V20" s="2" t="str">
        <f t="shared" si="5"/>
        <v>Pangkas</v>
      </c>
    </row>
    <row r="21" spans="1:22" x14ac:dyDescent="0.3">
      <c r="A21" s="2" t="s">
        <v>26</v>
      </c>
      <c r="B21" s="2">
        <v>1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S21" s="2" t="s">
        <v>101</v>
      </c>
      <c r="T21" s="2">
        <f>COUNTIFS($E$2:$E$51,1,$F$2:$F$51,1,$G$2:$G$51,1)</f>
        <v>0</v>
      </c>
      <c r="U21" s="2">
        <f t="shared" si="4"/>
        <v>0</v>
      </c>
      <c r="V21" s="2" t="str">
        <f t="shared" si="5"/>
        <v>Pangkas</v>
      </c>
    </row>
    <row r="22" spans="1:22" x14ac:dyDescent="0.3">
      <c r="A22" s="2" t="s">
        <v>27</v>
      </c>
      <c r="B22" s="2">
        <v>1</v>
      </c>
      <c r="C22" s="2">
        <v>0</v>
      </c>
      <c r="D22" s="2">
        <v>0</v>
      </c>
      <c r="E22" s="2">
        <v>1</v>
      </c>
      <c r="F22" s="2">
        <v>0</v>
      </c>
      <c r="G22" s="2">
        <v>0</v>
      </c>
    </row>
    <row r="23" spans="1:22" x14ac:dyDescent="0.3">
      <c r="A23" s="2" t="s">
        <v>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</row>
    <row r="24" spans="1:22" x14ac:dyDescent="0.3">
      <c r="A24" s="2" t="s">
        <v>29</v>
      </c>
      <c r="B24" s="2">
        <v>0</v>
      </c>
      <c r="C24" s="2">
        <v>0</v>
      </c>
      <c r="D24" s="2">
        <v>1</v>
      </c>
      <c r="E24" s="2">
        <v>0</v>
      </c>
      <c r="F24" s="2">
        <v>1</v>
      </c>
      <c r="G24" s="2">
        <v>1</v>
      </c>
    </row>
    <row r="25" spans="1:22" x14ac:dyDescent="0.3">
      <c r="A25" s="2" t="s">
        <v>30</v>
      </c>
      <c r="B25" s="2">
        <v>0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</row>
    <row r="26" spans="1:22" x14ac:dyDescent="0.3">
      <c r="A26" s="2" t="s">
        <v>31</v>
      </c>
      <c r="B26" s="2">
        <v>1</v>
      </c>
      <c r="C26" s="2">
        <v>1</v>
      </c>
      <c r="D26" s="2">
        <v>0</v>
      </c>
      <c r="E26" s="2">
        <v>1</v>
      </c>
      <c r="F26" s="2">
        <v>0</v>
      </c>
      <c r="G26" s="2">
        <v>0</v>
      </c>
    </row>
    <row r="27" spans="1:22" x14ac:dyDescent="0.3">
      <c r="A27" s="2" t="s">
        <v>32</v>
      </c>
      <c r="B27" s="2">
        <v>0</v>
      </c>
      <c r="C27" s="2">
        <v>1</v>
      </c>
      <c r="D27" s="2">
        <v>1</v>
      </c>
      <c r="E27" s="2">
        <v>0</v>
      </c>
      <c r="F27" s="2">
        <v>0</v>
      </c>
      <c r="G27" s="2">
        <v>0</v>
      </c>
    </row>
    <row r="28" spans="1:22" x14ac:dyDescent="0.3">
      <c r="A28" s="2" t="s">
        <v>33</v>
      </c>
      <c r="B28" s="2">
        <v>0</v>
      </c>
      <c r="C28" s="2">
        <v>0</v>
      </c>
      <c r="D28" s="2">
        <v>1</v>
      </c>
      <c r="E28" s="2">
        <v>0</v>
      </c>
      <c r="F28" s="2">
        <v>1</v>
      </c>
      <c r="G28" s="2">
        <v>0</v>
      </c>
    </row>
    <row r="29" spans="1:22" x14ac:dyDescent="0.3">
      <c r="A29" s="2" t="s">
        <v>34</v>
      </c>
      <c r="B29" s="2">
        <v>1</v>
      </c>
      <c r="C29" s="2">
        <v>0</v>
      </c>
      <c r="D29" s="2">
        <v>1</v>
      </c>
      <c r="E29" s="2">
        <v>1</v>
      </c>
      <c r="F29" s="2">
        <v>0</v>
      </c>
      <c r="G29" s="2">
        <v>0</v>
      </c>
    </row>
    <row r="30" spans="1:22" x14ac:dyDescent="0.3">
      <c r="A30" s="2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</row>
    <row r="31" spans="1:22" x14ac:dyDescent="0.3">
      <c r="A31" s="2" t="s">
        <v>36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</row>
    <row r="32" spans="1:22" x14ac:dyDescent="0.3">
      <c r="A32" s="2" t="s">
        <v>37</v>
      </c>
      <c r="B32" s="2">
        <v>1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</row>
    <row r="33" spans="1:7" x14ac:dyDescent="0.3">
      <c r="A33" s="2" t="s">
        <v>38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1</v>
      </c>
    </row>
    <row r="34" spans="1:7" x14ac:dyDescent="0.3">
      <c r="A34" s="2" t="s">
        <v>39</v>
      </c>
      <c r="B34" s="2">
        <v>1</v>
      </c>
      <c r="C34" s="2">
        <v>1</v>
      </c>
      <c r="D34" s="2">
        <v>1</v>
      </c>
      <c r="E34" s="2">
        <v>0</v>
      </c>
      <c r="F34" s="2">
        <v>0</v>
      </c>
      <c r="G34" s="2">
        <v>0</v>
      </c>
    </row>
    <row r="35" spans="1:7" x14ac:dyDescent="0.3">
      <c r="A35" s="2" t="s">
        <v>40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0</v>
      </c>
    </row>
    <row r="36" spans="1:7" x14ac:dyDescent="0.3">
      <c r="A36" s="2" t="s">
        <v>41</v>
      </c>
      <c r="B36" s="2">
        <v>0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</row>
    <row r="37" spans="1:7" x14ac:dyDescent="0.3">
      <c r="A37" s="2" t="s">
        <v>42</v>
      </c>
      <c r="B37" s="2">
        <v>1</v>
      </c>
      <c r="C37" s="2">
        <v>0</v>
      </c>
      <c r="D37" s="2">
        <v>0</v>
      </c>
      <c r="E37" s="2">
        <v>1</v>
      </c>
      <c r="F37" s="2">
        <v>0</v>
      </c>
      <c r="G37" s="2">
        <v>0</v>
      </c>
    </row>
    <row r="38" spans="1:7" x14ac:dyDescent="0.3">
      <c r="A38" s="2" t="s">
        <v>43</v>
      </c>
      <c r="B38" s="2">
        <v>0</v>
      </c>
      <c r="C38" s="2">
        <v>0</v>
      </c>
      <c r="D38" s="2">
        <v>1</v>
      </c>
      <c r="E38" s="2">
        <v>0</v>
      </c>
      <c r="F38" s="2">
        <v>1</v>
      </c>
      <c r="G38" s="2">
        <v>0</v>
      </c>
    </row>
    <row r="39" spans="1:7" x14ac:dyDescent="0.3">
      <c r="A39" s="2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</row>
    <row r="40" spans="1:7" x14ac:dyDescent="0.3">
      <c r="A40" s="2" t="s">
        <v>45</v>
      </c>
      <c r="B40" s="2">
        <v>0</v>
      </c>
      <c r="C40" s="2">
        <v>1</v>
      </c>
      <c r="D40" s="2">
        <v>1</v>
      </c>
      <c r="E40" s="2">
        <v>0</v>
      </c>
      <c r="F40" s="2">
        <v>0</v>
      </c>
      <c r="G40" s="2">
        <v>0</v>
      </c>
    </row>
    <row r="41" spans="1:7" x14ac:dyDescent="0.3">
      <c r="A41" s="2" t="s">
        <v>46</v>
      </c>
      <c r="B41" s="2">
        <v>1</v>
      </c>
      <c r="C41" s="2">
        <v>1</v>
      </c>
      <c r="D41" s="2">
        <v>0</v>
      </c>
      <c r="E41" s="2">
        <v>0</v>
      </c>
      <c r="F41" s="2">
        <v>0</v>
      </c>
      <c r="G41" s="2">
        <v>0</v>
      </c>
    </row>
    <row r="42" spans="1:7" x14ac:dyDescent="0.3">
      <c r="A42" s="2" t="s">
        <v>47</v>
      </c>
      <c r="B42" s="2">
        <v>1</v>
      </c>
      <c r="C42" s="2">
        <v>0</v>
      </c>
      <c r="D42" s="2">
        <v>1</v>
      </c>
      <c r="E42" s="2">
        <v>1</v>
      </c>
      <c r="F42" s="2">
        <v>0</v>
      </c>
      <c r="G42" s="2">
        <v>0</v>
      </c>
    </row>
    <row r="43" spans="1:7" x14ac:dyDescent="0.3">
      <c r="A43" s="2" t="s">
        <v>48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1</v>
      </c>
    </row>
    <row r="44" spans="1:7" x14ac:dyDescent="0.3">
      <c r="A44" s="2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</row>
    <row r="45" spans="1:7" x14ac:dyDescent="0.3">
      <c r="A45" s="2" t="s">
        <v>50</v>
      </c>
      <c r="B45" s="2">
        <v>0</v>
      </c>
      <c r="C45" s="2">
        <v>0</v>
      </c>
      <c r="D45" s="2">
        <v>1</v>
      </c>
      <c r="E45" s="2">
        <v>0</v>
      </c>
      <c r="F45" s="2">
        <v>0</v>
      </c>
      <c r="G45" s="2">
        <v>0</v>
      </c>
    </row>
    <row r="46" spans="1:7" x14ac:dyDescent="0.3">
      <c r="A46" s="2" t="s">
        <v>51</v>
      </c>
      <c r="B46" s="2">
        <v>1</v>
      </c>
      <c r="C46" s="2">
        <v>1</v>
      </c>
      <c r="D46" s="2">
        <v>0</v>
      </c>
      <c r="E46" s="2">
        <v>1</v>
      </c>
      <c r="F46" s="2">
        <v>0</v>
      </c>
      <c r="G46" s="2">
        <v>0</v>
      </c>
    </row>
    <row r="47" spans="1:7" x14ac:dyDescent="0.3">
      <c r="A47" s="2" t="s">
        <v>52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</row>
    <row r="48" spans="1:7" x14ac:dyDescent="0.3">
      <c r="A48" s="2" t="s">
        <v>53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</row>
    <row r="49" spans="1:7" x14ac:dyDescent="0.3">
      <c r="A49" s="2" t="s">
        <v>54</v>
      </c>
      <c r="B49" s="2">
        <v>0</v>
      </c>
      <c r="C49" s="2">
        <v>1</v>
      </c>
      <c r="D49" s="2">
        <v>0</v>
      </c>
      <c r="E49" s="2">
        <v>0</v>
      </c>
      <c r="F49" s="2">
        <v>0</v>
      </c>
      <c r="G49" s="2">
        <v>0</v>
      </c>
    </row>
    <row r="50" spans="1:7" x14ac:dyDescent="0.3">
      <c r="A50" s="2" t="s">
        <v>55</v>
      </c>
      <c r="B50" s="2">
        <v>1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</row>
    <row r="51" spans="1:7" x14ac:dyDescent="0.3">
      <c r="A51" s="2" t="s">
        <v>56</v>
      </c>
      <c r="B51" s="2">
        <v>1</v>
      </c>
      <c r="C51" s="2">
        <v>0</v>
      </c>
      <c r="D51" s="2">
        <v>0</v>
      </c>
      <c r="E51" s="2">
        <v>1</v>
      </c>
      <c r="F51" s="2">
        <v>0</v>
      </c>
      <c r="G51" s="2">
        <v>0</v>
      </c>
    </row>
    <row r="52" spans="1:7" ht="13.8" customHeight="1" x14ac:dyDescent="0.3"/>
    <row r="53" spans="1:7" ht="13.8" customHeight="1" x14ac:dyDescent="0.3"/>
    <row r="54" spans="1:7" ht="17.399999999999999" customHeight="1" x14ac:dyDescent="0.3">
      <c r="A54" s="4"/>
    </row>
  </sheetData>
  <phoneticPr fontId="1" type="noConversion"/>
  <pageMargins left="0.75" right="0.75" top="1" bottom="1" header="0.5" footer="0.5"/>
  <ignoredErrors>
    <ignoredError sqref="J3:J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2E14-84F4-4D87-BFAE-014822A885F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Apriori_OneHot</vt:lpstr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2026-01-20T15:22:09Z</dcterms:created>
  <dcterms:modified xsi:type="dcterms:W3CDTF">2026-02-02T06:32:31Z</dcterms:modified>
</cp:coreProperties>
</file>